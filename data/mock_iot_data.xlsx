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iot_sensors" sheetId="1" r:id="rId4"/>
    <sheet state="visible" name="mock_manuals" sheetId="2" r:id="rId5"/>
    <sheet state="visible" name="mock_events" sheetId="3" r:id="rId6"/>
    <sheet state="visible" name="mock_users" sheetId="4" r:id="rId7"/>
    <sheet state="visible" name="mock_products" sheetId="5" r:id="rId8"/>
  </sheets>
  <definedNames/>
  <calcPr/>
</workbook>
</file>

<file path=xl/sharedStrings.xml><?xml version="1.0" encoding="utf-8"?>
<sst xmlns="http://schemas.openxmlformats.org/spreadsheetml/2006/main" count="307" uniqueCount="180">
  <si>
    <t>machine_id</t>
  </si>
  <si>
    <t>event_type</t>
  </si>
  <si>
    <t>timestamp</t>
  </si>
  <si>
    <t>coolant_level</t>
  </si>
  <si>
    <t>engine_temp</t>
  </si>
  <si>
    <t>coolant_flow</t>
  </si>
  <si>
    <t>pump_vibration</t>
  </si>
  <si>
    <t>load_sensor</t>
  </si>
  <si>
    <t>hydraulic_pressure</t>
  </si>
  <si>
    <t>bucket_type</t>
  </si>
  <si>
    <t>tilt_sensor</t>
  </si>
  <si>
    <t>ground_vibration</t>
  </si>
  <si>
    <t>wheel_speed</t>
  </si>
  <si>
    <t>bucket_angle</t>
  </si>
  <si>
    <t>oil_level</t>
  </si>
  <si>
    <t>pressure_diff</t>
  </si>
  <si>
    <t>oil_pressure</t>
  </si>
  <si>
    <t>oil_flow</t>
  </si>
  <si>
    <t>machine-001</t>
  </si>
  <si>
    <t>engine_overheat</t>
  </si>
  <si>
    <t>2025-11-13 09:00:00+00:00</t>
  </si>
  <si>
    <t>machine-002</t>
  </si>
  <si>
    <t>2025-11-13 09:15:00+00:00</t>
  </si>
  <si>
    <t>machine-003</t>
  </si>
  <si>
    <t>2025-11-13 09:30:00+00:00</t>
  </si>
  <si>
    <t>machine-004</t>
  </si>
  <si>
    <t>bucket_overload</t>
  </si>
  <si>
    <t>2025-11-13 09:45:00+00:00</t>
  </si>
  <si>
    <t>machine-005</t>
  </si>
  <si>
    <t>2025-11-13 10:00:00+00:00</t>
  </si>
  <si>
    <t>machine-006</t>
  </si>
  <si>
    <t>tipping_risk</t>
  </si>
  <si>
    <t>2025-11-13 10:15:00+00:00</t>
  </si>
  <si>
    <t>machine-007</t>
  </si>
  <si>
    <t>2025-11-13 10:30:00+00:00</t>
  </si>
  <si>
    <t>machine-008</t>
  </si>
  <si>
    <t>low_oil_pressure</t>
  </si>
  <si>
    <t>2025-11-13 10:45:00+00:00</t>
  </si>
  <si>
    <t>machine-009</t>
  </si>
  <si>
    <t>2025-11-13 11:00:00+00:00</t>
  </si>
  <si>
    <t>machine-010</t>
  </si>
  <si>
    <t>2025-11-13 11:15:00+00:00</t>
  </si>
  <si>
    <t>problem</t>
  </si>
  <si>
    <t>sensor</t>
  </si>
  <si>
    <t>threshold_value</t>
  </si>
  <si>
    <t>unit</t>
  </si>
  <si>
    <t>comparator</t>
  </si>
  <si>
    <t>low_coolant_level</t>
  </si>
  <si>
    <t>%</t>
  </si>
  <si>
    <t>&lt;</t>
  </si>
  <si>
    <t>blocked_radiator</t>
  </si>
  <si>
    <t>°C</t>
  </si>
  <si>
    <t>&gt;</t>
  </si>
  <si>
    <t>L/min</t>
  </si>
  <si>
    <t>faulty_water_pump</t>
  </si>
  <si>
    <t>mm/s</t>
  </si>
  <si>
    <t>overloaded_bucket</t>
  </si>
  <si>
    <t>kg</t>
  </si>
  <si>
    <t>bar</t>
  </si>
  <si>
    <t>incorrect_bucket_size</t>
  </si>
  <si>
    <t>type</t>
  </si>
  <si>
    <t>=</t>
  </si>
  <si>
    <t>unstable_ground</t>
  </si>
  <si>
    <t>°</t>
  </si>
  <si>
    <t>g</t>
  </si>
  <si>
    <t>uneven_load_distribution</t>
  </si>
  <si>
    <t>excessive_speed_on_slope</t>
  </si>
  <si>
    <t>km/h</t>
  </si>
  <si>
    <t>improper_bucket_position</t>
  </si>
  <si>
    <t>±</t>
  </si>
  <si>
    <t>low_oil_level</t>
  </si>
  <si>
    <t>clogged_oil_filter</t>
  </si>
  <si>
    <t>oil_pump_malfunction</t>
  </si>
  <si>
    <t>actions</t>
  </si>
  <si>
    <t>product_ids</t>
  </si>
  <si>
    <t>['IMMEDIATE: Stop engine', 'URGENT: Refill coolant']</t>
  </si>
  <si>
    <t>['YD00001087']</t>
  </si>
  <si>
    <t>['IMMEDIATE: Stop engine', 'URGENT: Clean radiator']</t>
  </si>
  <si>
    <t>['YD00006620']</t>
  </si>
  <si>
    <t>['IMMEDIATE: Stop engine', 'URGENT: Replace pump']</t>
  </si>
  <si>
    <t>['YD00012770']</t>
  </si>
  <si>
    <t>['IMMEDIATE: Reduce load', 'SCHEDULE: Inspect hydraulic system']</t>
  </si>
  <si>
    <t>['YD00003356']</t>
  </si>
  <si>
    <t>['SCHEDULE: Replace bucket', 'ADVICE: Train operator on bucket limits']</t>
  </si>
  <si>
    <t>['YD00000443']</t>
  </si>
  <si>
    <t>['IMMEDIATE: Stop machine', 'SCHEDULE: Inspect site stability']</t>
  </si>
  <si>
    <t>['YD00005080']</t>
  </si>
  <si>
    <t>['IMMEDIATE: Adjust load', 'SCHEDULE: Operator training']</t>
  </si>
  <si>
    <t>['YD00005227']</t>
  </si>
  <si>
    <t>['IMMEDIATE: Reduce speed', 'ADVICE: Train operator']</t>
  </si>
  <si>
    <t>['YD00005080', 'YD00005227']</t>
  </si>
  <si>
    <t>['IMMEDIATE: Correct bucket', 'SCHEDULE: Inspect site']</t>
  </si>
  <si>
    <t>['IMMEDIATE: Stop engine', 'URGENT: Refill oil']</t>
  </si>
  <si>
    <t>['YD00000378']</t>
  </si>
  <si>
    <t>['IMMEDIATE: Stop engine', 'URGENT: Replace oil filter']</t>
  </si>
  <si>
    <t>['YD00007260']</t>
  </si>
  <si>
    <t>['YD00000378', 'YD00007260']</t>
  </si>
  <si>
    <t>owner_name</t>
  </si>
  <si>
    <t>phone</t>
  </si>
  <si>
    <t>email</t>
  </si>
  <si>
    <t>company</t>
  </si>
  <si>
    <t>Ramesh Kumar</t>
  </si>
  <si>
    <t>ramesh.kumar@earthmove.co</t>
  </si>
  <si>
    <t>EarthMove Services</t>
  </si>
  <si>
    <t>Suresh Industries</t>
  </si>
  <si>
    <t>contact@sureshind.com</t>
  </si>
  <si>
    <t>Anita Singh</t>
  </si>
  <si>
    <t>anita.singh@buildco.com</t>
  </si>
  <si>
    <t>BuildCo</t>
  </si>
  <si>
    <t>Vijay Rao</t>
  </si>
  <si>
    <t>vijay.rao@earthworks.com</t>
  </si>
  <si>
    <t>EarthWorks</t>
  </si>
  <si>
    <t>Priya Sharma</t>
  </si>
  <si>
    <t>priya.sharma@digfast.com</t>
  </si>
  <si>
    <t>DigFast</t>
  </si>
  <si>
    <t>Arun Patel</t>
  </si>
  <si>
    <t>arun.patel@rockmovers.com</t>
  </si>
  <si>
    <t>RockMovers</t>
  </si>
  <si>
    <t>Deepa Nair</t>
  </si>
  <si>
    <t>deepa.nair@loadit.com</t>
  </si>
  <si>
    <t>LoadIt</t>
  </si>
  <si>
    <t>Rohit Verma</t>
  </si>
  <si>
    <t>rohit.verma@excavate.com</t>
  </si>
  <si>
    <t>ExcavateCo</t>
  </si>
  <si>
    <t>Neha Gupta</t>
  </si>
  <si>
    <t>neha.gupta@digtech.com</t>
  </si>
  <si>
    <t>DigTech</t>
  </si>
  <si>
    <t>Sanjay Mehta</t>
  </si>
  <si>
    <t>sanjay.mehta@earthmove.co</t>
  </si>
  <si>
    <t>machine-011</t>
  </si>
  <si>
    <t>Kavita Joshi</t>
  </si>
  <si>
    <t>kavita.joshi@buildco.com</t>
  </si>
  <si>
    <t>machine-012</t>
  </si>
  <si>
    <t>Amit Desai</t>
  </si>
  <si>
    <t>amit.desai@digfast.com</t>
  </si>
  <si>
    <t>machine-013</t>
  </si>
  <si>
    <t>Ritu Khanna</t>
  </si>
  <si>
    <t>ritu.khanna@rockmovers.com</t>
  </si>
  <si>
    <t>machine-014</t>
  </si>
  <si>
    <t>Manoj Yadav</t>
  </si>
  <si>
    <t>manoj.yadav@earthworks.com</t>
  </si>
  <si>
    <t>machine-015</t>
  </si>
  <si>
    <t>Sonal Kapoor</t>
  </si>
  <si>
    <t>sonal.kapoor@excavate.com</t>
  </si>
  <si>
    <t>machine-016</t>
  </si>
  <si>
    <t>Rajesh Nair</t>
  </si>
  <si>
    <t>rajesh.nair@loadit.com</t>
  </si>
  <si>
    <t>machine-017</t>
  </si>
  <si>
    <t>Pooja Reddy</t>
  </si>
  <si>
    <t>pooja.reddy@digtech.com</t>
  </si>
  <si>
    <t>machine-018</t>
  </si>
  <si>
    <t>Vikas Kumar</t>
  </si>
  <si>
    <t>vikas.kumar@earthmove.co</t>
  </si>
  <si>
    <t>machine-019</t>
  </si>
  <si>
    <t>Neelam Sharma</t>
  </si>
  <si>
    <t>neelam.sharma@buildco.com</t>
  </si>
  <si>
    <t>machine-020</t>
  </si>
  <si>
    <t>Harish Patel</t>
  </si>
  <si>
    <t>harish.patel@digfast.com</t>
  </si>
  <si>
    <t>product_id</t>
  </si>
  <si>
    <t>title</t>
  </si>
  <si>
    <t>price_inr</t>
  </si>
  <si>
    <t>YD00001087</t>
  </si>
  <si>
    <t>HOSE;COOLER(UNIT-COMPRESSOR)</t>
  </si>
  <si>
    <t>YD00006620</t>
  </si>
  <si>
    <t>RADIATOR</t>
  </si>
  <si>
    <t>YD00012770</t>
  </si>
  <si>
    <t>PUMP;PISTON</t>
  </si>
  <si>
    <t>YD00003356</t>
  </si>
  <si>
    <t>HOSE</t>
  </si>
  <si>
    <t>YD00000443</t>
  </si>
  <si>
    <t>SECTION (BUCKET)</t>
  </si>
  <si>
    <t>YD00005080</t>
  </si>
  <si>
    <t>BRACKET</t>
  </si>
  <si>
    <t>YD00005227</t>
  </si>
  <si>
    <t>JOINT BALL</t>
  </si>
  <si>
    <t>YD00000378</t>
  </si>
  <si>
    <t>MOTOR;OIL</t>
  </si>
  <si>
    <t>YD00007260</t>
  </si>
  <si>
    <t>ENGINE OIL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</si>
</sst>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/>
    </xf>
    <xf quotePrefix="1"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center" shrinkToFit="0" vertical="top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18</v>
      </c>
      <c r="B2" s="3" t="s">
        <v>19</v>
      </c>
      <c r="C2" s="3" t="s">
        <v>20</v>
      </c>
      <c r="D2" s="3">
        <v>25.0</v>
      </c>
      <c r="E2" s="3">
        <v>95.0</v>
      </c>
      <c r="F2" s="3">
        <v>16.0</v>
      </c>
      <c r="G2" s="3">
        <v>3.0</v>
      </c>
      <c r="H2" s="3">
        <v>1800.0</v>
      </c>
      <c r="I2" s="3">
        <v>200.0</v>
      </c>
      <c r="J2" s="3">
        <v>1.0</v>
      </c>
      <c r="K2" s="3">
        <v>4.0</v>
      </c>
      <c r="L2" s="3">
        <v>0.2</v>
      </c>
      <c r="M2" s="3">
        <v>10.0</v>
      </c>
      <c r="N2" s="3">
        <v>3.0</v>
      </c>
      <c r="O2" s="3">
        <v>35.0</v>
      </c>
      <c r="P2" s="3">
        <v>0.3</v>
      </c>
      <c r="Q2" s="3">
        <v>2.0</v>
      </c>
      <c r="R2" s="3">
        <v>6.0</v>
      </c>
    </row>
    <row r="3" ht="15.75" customHeight="1">
      <c r="A3" s="3" t="s">
        <v>21</v>
      </c>
      <c r="B3" s="3" t="s">
        <v>19</v>
      </c>
      <c r="C3" s="3" t="s">
        <v>22</v>
      </c>
      <c r="D3" s="3">
        <v>35.0</v>
      </c>
      <c r="E3" s="3">
        <v>105.0</v>
      </c>
      <c r="F3" s="3">
        <v>12.0</v>
      </c>
      <c r="G3" s="3">
        <v>3.0</v>
      </c>
      <c r="H3" s="3">
        <v>1800.0</v>
      </c>
      <c r="I3" s="3">
        <v>200.0</v>
      </c>
      <c r="J3" s="3">
        <v>1.0</v>
      </c>
      <c r="K3" s="3">
        <v>4.0</v>
      </c>
      <c r="L3" s="3">
        <v>0.2</v>
      </c>
      <c r="M3" s="3">
        <v>10.0</v>
      </c>
      <c r="N3" s="3">
        <v>3.0</v>
      </c>
      <c r="O3" s="3">
        <v>35.0</v>
      </c>
      <c r="P3" s="3">
        <v>0.3</v>
      </c>
      <c r="Q3" s="3">
        <v>2.0</v>
      </c>
      <c r="R3" s="3">
        <v>6.0</v>
      </c>
    </row>
    <row r="4" ht="15.75" customHeight="1">
      <c r="A4" s="3" t="s">
        <v>23</v>
      </c>
      <c r="B4" s="3" t="s">
        <v>19</v>
      </c>
      <c r="C4" s="3" t="s">
        <v>24</v>
      </c>
      <c r="D4" s="3">
        <v>35.0</v>
      </c>
      <c r="E4" s="3">
        <v>95.0</v>
      </c>
      <c r="F4" s="3">
        <v>8.0</v>
      </c>
      <c r="G4" s="3">
        <v>6.0</v>
      </c>
      <c r="H4" s="3">
        <v>1800.0</v>
      </c>
      <c r="I4" s="3">
        <v>200.0</v>
      </c>
      <c r="J4" s="3">
        <v>1.0</v>
      </c>
      <c r="K4" s="3">
        <v>4.0</v>
      </c>
      <c r="L4" s="3">
        <v>0.2</v>
      </c>
      <c r="M4" s="3">
        <v>10.0</v>
      </c>
      <c r="N4" s="3">
        <v>3.0</v>
      </c>
      <c r="O4" s="3">
        <v>35.0</v>
      </c>
      <c r="P4" s="3">
        <v>0.3</v>
      </c>
      <c r="Q4" s="3">
        <v>2.0</v>
      </c>
      <c r="R4" s="3">
        <v>6.0</v>
      </c>
    </row>
    <row r="5" ht="15.75" customHeight="1">
      <c r="A5" s="3" t="s">
        <v>25</v>
      </c>
      <c r="B5" s="3" t="s">
        <v>26</v>
      </c>
      <c r="C5" s="3" t="s">
        <v>27</v>
      </c>
      <c r="D5" s="3">
        <v>35.0</v>
      </c>
      <c r="E5" s="3">
        <v>95.0</v>
      </c>
      <c r="F5" s="3">
        <v>16.0</v>
      </c>
      <c r="G5" s="3">
        <v>3.0</v>
      </c>
      <c r="H5" s="3">
        <v>2500.0</v>
      </c>
      <c r="I5" s="3">
        <v>260.0</v>
      </c>
      <c r="J5" s="3">
        <v>2.0</v>
      </c>
      <c r="K5" s="3">
        <v>4.0</v>
      </c>
      <c r="L5" s="3">
        <v>0.2</v>
      </c>
      <c r="M5" s="3">
        <v>10.0</v>
      </c>
      <c r="N5" s="3">
        <v>3.0</v>
      </c>
      <c r="O5" s="3">
        <v>35.0</v>
      </c>
      <c r="P5" s="3">
        <v>0.3</v>
      </c>
      <c r="Q5" s="3">
        <v>2.0</v>
      </c>
      <c r="R5" s="3">
        <v>6.0</v>
      </c>
    </row>
    <row r="6" ht="15.75" customHeight="1">
      <c r="A6" s="3" t="s">
        <v>28</v>
      </c>
      <c r="B6" s="3" t="s">
        <v>26</v>
      </c>
      <c r="C6" s="3" t="s">
        <v>29</v>
      </c>
      <c r="D6" s="3">
        <v>35.0</v>
      </c>
      <c r="E6" s="3">
        <v>95.0</v>
      </c>
      <c r="F6" s="3">
        <v>16.0</v>
      </c>
      <c r="G6" s="3">
        <v>3.0</v>
      </c>
      <c r="H6" s="3">
        <v>1800.0</v>
      </c>
      <c r="I6" s="3">
        <v>300.0</v>
      </c>
      <c r="J6" s="3">
        <v>1.0</v>
      </c>
      <c r="K6" s="3">
        <v>4.0</v>
      </c>
      <c r="L6" s="3">
        <v>0.2</v>
      </c>
      <c r="M6" s="3">
        <v>10.0</v>
      </c>
      <c r="N6" s="3">
        <v>3.0</v>
      </c>
      <c r="O6" s="3">
        <v>35.0</v>
      </c>
      <c r="P6" s="3">
        <v>0.3</v>
      </c>
      <c r="Q6" s="3">
        <v>2.0</v>
      </c>
      <c r="R6" s="3">
        <v>6.0</v>
      </c>
    </row>
    <row r="7" ht="15.75" customHeight="1">
      <c r="A7" s="3" t="s">
        <v>30</v>
      </c>
      <c r="B7" s="3" t="s">
        <v>31</v>
      </c>
      <c r="C7" s="3" t="s">
        <v>32</v>
      </c>
      <c r="D7" s="3">
        <v>35.0</v>
      </c>
      <c r="E7" s="3">
        <v>95.0</v>
      </c>
      <c r="F7" s="3">
        <v>16.0</v>
      </c>
      <c r="G7" s="3">
        <v>3.0</v>
      </c>
      <c r="H7" s="3">
        <v>1800.0</v>
      </c>
      <c r="I7" s="3">
        <v>200.0</v>
      </c>
      <c r="J7" s="3">
        <v>1.0</v>
      </c>
      <c r="K7" s="3">
        <v>12.0</v>
      </c>
      <c r="L7" s="3">
        <v>0.6</v>
      </c>
      <c r="M7" s="3">
        <v>10.0</v>
      </c>
      <c r="N7" s="3">
        <v>4.0</v>
      </c>
      <c r="O7" s="3">
        <v>35.0</v>
      </c>
      <c r="P7" s="3">
        <v>0.3</v>
      </c>
      <c r="Q7" s="3">
        <v>2.0</v>
      </c>
      <c r="R7" s="3">
        <v>6.0</v>
      </c>
    </row>
    <row r="8" ht="15.75" customHeight="1">
      <c r="A8" s="3" t="s">
        <v>33</v>
      </c>
      <c r="B8" s="3" t="s">
        <v>31</v>
      </c>
      <c r="C8" s="3" t="s">
        <v>34</v>
      </c>
      <c r="D8" s="3">
        <v>35.0</v>
      </c>
      <c r="E8" s="3">
        <v>95.0</v>
      </c>
      <c r="F8" s="3">
        <v>16.0</v>
      </c>
      <c r="G8" s="3">
        <v>3.0</v>
      </c>
      <c r="H8" s="3">
        <v>2000.0</v>
      </c>
      <c r="I8" s="3">
        <v>200.0</v>
      </c>
      <c r="J8" s="3">
        <v>1.0</v>
      </c>
      <c r="K8" s="3">
        <v>10.0</v>
      </c>
      <c r="L8" s="3">
        <v>0.2</v>
      </c>
      <c r="M8" s="3">
        <v>10.0</v>
      </c>
      <c r="N8" s="3">
        <v>4.0</v>
      </c>
      <c r="O8" s="3">
        <v>35.0</v>
      </c>
      <c r="P8" s="3">
        <v>0.3</v>
      </c>
      <c r="Q8" s="3">
        <v>2.0</v>
      </c>
      <c r="R8" s="3">
        <v>6.0</v>
      </c>
    </row>
    <row r="9" ht="15.75" customHeight="1">
      <c r="A9" s="3" t="s">
        <v>35</v>
      </c>
      <c r="B9" s="3" t="s">
        <v>36</v>
      </c>
      <c r="C9" s="3" t="s">
        <v>37</v>
      </c>
      <c r="D9" s="3">
        <v>35.0</v>
      </c>
      <c r="E9" s="3">
        <v>95.0</v>
      </c>
      <c r="F9" s="3">
        <v>16.0</v>
      </c>
      <c r="G9" s="3">
        <v>3.0</v>
      </c>
      <c r="H9" s="3">
        <v>1800.0</v>
      </c>
      <c r="I9" s="3">
        <v>200.0</v>
      </c>
      <c r="J9" s="3">
        <v>1.0</v>
      </c>
      <c r="K9" s="3">
        <v>4.0</v>
      </c>
      <c r="L9" s="3">
        <v>0.2</v>
      </c>
      <c r="M9" s="3">
        <v>10.0</v>
      </c>
      <c r="N9" s="3">
        <v>3.0</v>
      </c>
      <c r="O9" s="3">
        <v>20.0</v>
      </c>
      <c r="P9" s="3">
        <v>0.4</v>
      </c>
      <c r="Q9" s="3">
        <v>2.0</v>
      </c>
      <c r="R9" s="3">
        <v>6.0</v>
      </c>
    </row>
    <row r="10" ht="15.75" customHeight="1">
      <c r="A10" s="3" t="s">
        <v>38</v>
      </c>
      <c r="B10" s="3" t="s">
        <v>36</v>
      </c>
      <c r="C10" s="3" t="s">
        <v>39</v>
      </c>
      <c r="D10" s="3">
        <v>35.0</v>
      </c>
      <c r="E10" s="3">
        <v>95.0</v>
      </c>
      <c r="F10" s="3">
        <v>16.0</v>
      </c>
      <c r="G10" s="3">
        <v>3.0</v>
      </c>
      <c r="H10" s="3">
        <v>1800.0</v>
      </c>
      <c r="I10" s="3">
        <v>200.0</v>
      </c>
      <c r="J10" s="3">
        <v>1.0</v>
      </c>
      <c r="K10" s="3">
        <v>4.0</v>
      </c>
      <c r="L10" s="3">
        <v>0.2</v>
      </c>
      <c r="M10" s="3">
        <v>10.0</v>
      </c>
      <c r="N10" s="3">
        <v>3.0</v>
      </c>
      <c r="O10" s="3">
        <v>40.0</v>
      </c>
      <c r="P10" s="3">
        <v>0.6</v>
      </c>
      <c r="Q10" s="3">
        <v>2.0</v>
      </c>
      <c r="R10" s="3">
        <v>6.0</v>
      </c>
    </row>
    <row r="11" ht="15.75" customHeight="1">
      <c r="A11" s="3" t="s">
        <v>40</v>
      </c>
      <c r="B11" s="3" t="s">
        <v>36</v>
      </c>
      <c r="C11" s="3" t="s">
        <v>41</v>
      </c>
      <c r="D11" s="3">
        <v>35.0</v>
      </c>
      <c r="E11" s="3">
        <v>95.0</v>
      </c>
      <c r="F11" s="3">
        <v>16.0</v>
      </c>
      <c r="G11" s="3">
        <v>3.0</v>
      </c>
      <c r="H11" s="3">
        <v>1800.0</v>
      </c>
      <c r="I11" s="3">
        <v>200.0</v>
      </c>
      <c r="J11" s="3">
        <v>1.0</v>
      </c>
      <c r="K11" s="3">
        <v>4.0</v>
      </c>
      <c r="L11" s="3">
        <v>0.2</v>
      </c>
      <c r="M11" s="3">
        <v>10.0</v>
      </c>
      <c r="N11" s="3">
        <v>3.0</v>
      </c>
      <c r="O11" s="3">
        <v>50.0</v>
      </c>
      <c r="P11" s="3">
        <v>0.3</v>
      </c>
      <c r="Q11" s="3">
        <v>1.0</v>
      </c>
      <c r="R11" s="3">
        <v>4.0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I20" s="3"/>
      <c r="J20" s="3"/>
      <c r="K20" s="3"/>
      <c r="L20" s="3"/>
      <c r="M20" s="3"/>
      <c r="N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6" width="12.63"/>
  </cols>
  <sheetData>
    <row r="1" ht="15.75" customHeight="1">
      <c r="A1" s="1" t="s">
        <v>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19</v>
      </c>
      <c r="B2" s="3" t="s">
        <v>47</v>
      </c>
      <c r="C2" s="3" t="s">
        <v>3</v>
      </c>
      <c r="D2" s="3">
        <v>30.0</v>
      </c>
      <c r="E2" s="3" t="s">
        <v>48</v>
      </c>
      <c r="F2" s="3" t="s">
        <v>49</v>
      </c>
    </row>
    <row r="3" ht="15.75" customHeight="1">
      <c r="A3" s="3" t="s">
        <v>19</v>
      </c>
      <c r="B3" s="3" t="s">
        <v>50</v>
      </c>
      <c r="C3" s="3" t="s">
        <v>4</v>
      </c>
      <c r="D3" s="3">
        <v>100.0</v>
      </c>
      <c r="E3" s="3" t="s">
        <v>51</v>
      </c>
      <c r="F3" s="3" t="s">
        <v>52</v>
      </c>
    </row>
    <row r="4" ht="15.75" customHeight="1">
      <c r="A4" s="3" t="s">
        <v>19</v>
      </c>
      <c r="B4" s="3" t="s">
        <v>50</v>
      </c>
      <c r="C4" s="3" t="s">
        <v>5</v>
      </c>
      <c r="D4" s="3">
        <v>15.0</v>
      </c>
      <c r="E4" s="3" t="s">
        <v>53</v>
      </c>
      <c r="F4" s="3" t="s">
        <v>49</v>
      </c>
    </row>
    <row r="5" ht="15.75" customHeight="1">
      <c r="A5" s="3" t="s">
        <v>19</v>
      </c>
      <c r="B5" s="3" t="s">
        <v>54</v>
      </c>
      <c r="C5" s="3" t="s">
        <v>5</v>
      </c>
      <c r="D5" s="3">
        <v>10.0</v>
      </c>
      <c r="E5" s="3" t="s">
        <v>53</v>
      </c>
      <c r="F5" s="3" t="s">
        <v>49</v>
      </c>
    </row>
    <row r="6" ht="15.75" customHeight="1">
      <c r="A6" s="3" t="s">
        <v>19</v>
      </c>
      <c r="B6" s="3" t="s">
        <v>54</v>
      </c>
      <c r="C6" s="3" t="s">
        <v>6</v>
      </c>
      <c r="D6" s="3">
        <v>5.0</v>
      </c>
      <c r="E6" s="3" t="s">
        <v>55</v>
      </c>
      <c r="F6" s="3" t="s">
        <v>52</v>
      </c>
    </row>
    <row r="7" ht="15.75" customHeight="1">
      <c r="A7" s="3" t="s">
        <v>26</v>
      </c>
      <c r="B7" s="3" t="s">
        <v>56</v>
      </c>
      <c r="C7" s="3" t="s">
        <v>7</v>
      </c>
      <c r="D7" s="3">
        <v>2000.0</v>
      </c>
      <c r="E7" s="3" t="s">
        <v>57</v>
      </c>
      <c r="F7" s="3" t="s">
        <v>52</v>
      </c>
    </row>
    <row r="8" ht="15.75" customHeight="1">
      <c r="A8" s="3" t="s">
        <v>26</v>
      </c>
      <c r="B8" s="3" t="s">
        <v>56</v>
      </c>
      <c r="C8" s="3" t="s">
        <v>8</v>
      </c>
      <c r="D8" s="3">
        <v>250.0</v>
      </c>
      <c r="E8" s="3" t="s">
        <v>58</v>
      </c>
      <c r="F8" s="3" t="s">
        <v>52</v>
      </c>
    </row>
    <row r="9" ht="15.75" customHeight="1">
      <c r="A9" s="3" t="s">
        <v>26</v>
      </c>
      <c r="B9" s="3" t="s">
        <v>59</v>
      </c>
      <c r="C9" s="3" t="s">
        <v>9</v>
      </c>
      <c r="D9" s="3">
        <v>1.0</v>
      </c>
      <c r="E9" s="3" t="s">
        <v>60</v>
      </c>
      <c r="F9" s="4" t="s">
        <v>61</v>
      </c>
    </row>
    <row r="10" ht="15.75" customHeight="1">
      <c r="A10" s="3" t="s">
        <v>31</v>
      </c>
      <c r="B10" s="3" t="s">
        <v>62</v>
      </c>
      <c r="C10" s="3" t="s">
        <v>10</v>
      </c>
      <c r="D10" s="3">
        <v>10.0</v>
      </c>
      <c r="E10" s="3" t="s">
        <v>63</v>
      </c>
      <c r="F10" s="3" t="s">
        <v>52</v>
      </c>
    </row>
    <row r="11" ht="15.75" customHeight="1">
      <c r="A11" s="3" t="s">
        <v>31</v>
      </c>
      <c r="B11" s="3" t="s">
        <v>62</v>
      </c>
      <c r="C11" s="3" t="s">
        <v>11</v>
      </c>
      <c r="D11" s="3">
        <v>0.5</v>
      </c>
      <c r="E11" s="3" t="s">
        <v>64</v>
      </c>
      <c r="F11" s="3" t="s">
        <v>52</v>
      </c>
    </row>
    <row r="12" ht="15.75" customHeight="1">
      <c r="A12" s="3" t="s">
        <v>31</v>
      </c>
      <c r="B12" s="3" t="s">
        <v>65</v>
      </c>
      <c r="C12" s="3" t="s">
        <v>10</v>
      </c>
      <c r="D12" s="3">
        <v>5.0</v>
      </c>
      <c r="E12" s="3" t="s">
        <v>63</v>
      </c>
      <c r="F12" s="3" t="s">
        <v>52</v>
      </c>
      <c r="I12" s="3"/>
      <c r="J12" s="3"/>
      <c r="K12" s="3"/>
      <c r="L12" s="3"/>
      <c r="M12" s="3"/>
      <c r="N12" s="3"/>
    </row>
    <row r="13" ht="15.75" customHeight="1">
      <c r="A13" s="3" t="s">
        <v>31</v>
      </c>
      <c r="B13" s="3" t="s">
        <v>65</v>
      </c>
      <c r="C13" s="3" t="s">
        <v>7</v>
      </c>
      <c r="D13" s="3">
        <v>2000.0</v>
      </c>
      <c r="E13" s="3" t="s">
        <v>48</v>
      </c>
      <c r="F13" s="3" t="s">
        <v>52</v>
      </c>
    </row>
    <row r="14" ht="15.75" customHeight="1">
      <c r="A14" s="3" t="s">
        <v>31</v>
      </c>
      <c r="B14" s="3" t="s">
        <v>66</v>
      </c>
      <c r="C14" s="3" t="s">
        <v>12</v>
      </c>
      <c r="D14" s="3">
        <v>15.0</v>
      </c>
      <c r="E14" s="3" t="s">
        <v>67</v>
      </c>
      <c r="F14" s="3" t="s">
        <v>52</v>
      </c>
    </row>
    <row r="15" ht="15.75" customHeight="1">
      <c r="A15" s="3" t="s">
        <v>31</v>
      </c>
      <c r="B15" s="3" t="s">
        <v>66</v>
      </c>
      <c r="C15" s="3" t="s">
        <v>10</v>
      </c>
      <c r="D15" s="3">
        <v>5.0</v>
      </c>
      <c r="E15" s="3" t="s">
        <v>63</v>
      </c>
      <c r="F15" s="3" t="s">
        <v>52</v>
      </c>
    </row>
    <row r="16" ht="15.75" customHeight="1">
      <c r="A16" s="3" t="s">
        <v>31</v>
      </c>
      <c r="B16" s="3" t="s">
        <v>68</v>
      </c>
      <c r="C16" s="3" t="s">
        <v>13</v>
      </c>
      <c r="D16" s="3">
        <v>5.0</v>
      </c>
      <c r="E16" s="3" t="s">
        <v>63</v>
      </c>
      <c r="F16" s="3" t="s">
        <v>69</v>
      </c>
    </row>
    <row r="17" ht="15.75" customHeight="1">
      <c r="A17" s="3" t="s">
        <v>36</v>
      </c>
      <c r="B17" s="3" t="s">
        <v>70</v>
      </c>
      <c r="C17" s="3" t="s">
        <v>14</v>
      </c>
      <c r="D17" s="3">
        <v>30.0</v>
      </c>
      <c r="E17" s="3" t="s">
        <v>48</v>
      </c>
      <c r="F17" s="3" t="s">
        <v>49</v>
      </c>
    </row>
    <row r="18" ht="15.75" customHeight="1">
      <c r="A18" s="3" t="s">
        <v>36</v>
      </c>
      <c r="B18" s="3" t="s">
        <v>71</v>
      </c>
      <c r="C18" s="3" t="s">
        <v>15</v>
      </c>
      <c r="D18" s="3">
        <v>0.5</v>
      </c>
      <c r="E18" s="3" t="s">
        <v>58</v>
      </c>
      <c r="F18" s="3" t="s">
        <v>52</v>
      </c>
    </row>
    <row r="19" ht="15.75" customHeight="1">
      <c r="A19" s="3" t="s">
        <v>36</v>
      </c>
      <c r="B19" s="3" t="s">
        <v>72</v>
      </c>
      <c r="C19" s="3" t="s">
        <v>16</v>
      </c>
      <c r="D19" s="3">
        <v>1.5</v>
      </c>
      <c r="E19" s="3" t="s">
        <v>58</v>
      </c>
      <c r="F19" s="3" t="s">
        <v>49</v>
      </c>
    </row>
    <row r="20" ht="15.75" customHeight="1">
      <c r="A20" s="3" t="s">
        <v>36</v>
      </c>
      <c r="B20" s="3" t="s">
        <v>72</v>
      </c>
      <c r="C20" s="3" t="s">
        <v>17</v>
      </c>
      <c r="D20" s="3">
        <v>5.0</v>
      </c>
      <c r="E20" s="3" t="s">
        <v>53</v>
      </c>
      <c r="F20" s="3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75"/>
    <col customWidth="1" min="3" max="3" width="24.25"/>
    <col customWidth="1" min="4" max="4" width="23.25"/>
    <col customWidth="1" min="5" max="6" width="12.63"/>
  </cols>
  <sheetData>
    <row r="1" ht="15.75" customHeight="1">
      <c r="A1" s="5" t="s">
        <v>1</v>
      </c>
      <c r="B1" s="5" t="s">
        <v>42</v>
      </c>
      <c r="C1" s="5" t="s">
        <v>73</v>
      </c>
      <c r="D1" s="5" t="s">
        <v>74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 t="s">
        <v>19</v>
      </c>
      <c r="B2" s="3" t="s">
        <v>47</v>
      </c>
      <c r="C2" s="6" t="s">
        <v>75</v>
      </c>
      <c r="D2" s="7" t="s">
        <v>76</v>
      </c>
      <c r="H2" s="8"/>
    </row>
    <row r="3" ht="15.75" customHeight="1">
      <c r="A3" s="6" t="s">
        <v>19</v>
      </c>
      <c r="B3" s="3" t="s">
        <v>50</v>
      </c>
      <c r="C3" s="6" t="s">
        <v>77</v>
      </c>
      <c r="D3" s="7" t="s">
        <v>78</v>
      </c>
      <c r="H3" s="8"/>
    </row>
    <row r="4" ht="15.75" customHeight="1">
      <c r="A4" s="6" t="s">
        <v>19</v>
      </c>
      <c r="B4" s="3" t="s">
        <v>54</v>
      </c>
      <c r="C4" s="6" t="s">
        <v>79</v>
      </c>
      <c r="D4" s="7" t="s">
        <v>80</v>
      </c>
      <c r="H4" s="8"/>
    </row>
    <row r="5" ht="15.75" customHeight="1">
      <c r="A5" s="6" t="s">
        <v>26</v>
      </c>
      <c r="B5" s="3" t="s">
        <v>56</v>
      </c>
      <c r="C5" s="6" t="s">
        <v>81</v>
      </c>
      <c r="D5" s="7" t="s">
        <v>82</v>
      </c>
      <c r="H5" s="8"/>
    </row>
    <row r="6" ht="15.75" customHeight="1">
      <c r="A6" s="6" t="s">
        <v>26</v>
      </c>
      <c r="B6" s="3" t="s">
        <v>59</v>
      </c>
      <c r="C6" s="6" t="s">
        <v>83</v>
      </c>
      <c r="D6" s="7" t="s">
        <v>84</v>
      </c>
      <c r="H6" s="8"/>
    </row>
    <row r="7" ht="15.75" customHeight="1">
      <c r="A7" s="6" t="s">
        <v>31</v>
      </c>
      <c r="B7" s="3" t="s">
        <v>62</v>
      </c>
      <c r="C7" s="6" t="s">
        <v>85</v>
      </c>
      <c r="D7" s="7" t="s">
        <v>86</v>
      </c>
      <c r="H7" s="8"/>
    </row>
    <row r="8" ht="15.75" customHeight="1">
      <c r="A8" s="6" t="s">
        <v>31</v>
      </c>
      <c r="B8" s="3" t="s">
        <v>65</v>
      </c>
      <c r="C8" s="6" t="s">
        <v>87</v>
      </c>
      <c r="D8" s="7" t="s">
        <v>88</v>
      </c>
      <c r="H8" s="8"/>
    </row>
    <row r="9" ht="15.75" customHeight="1">
      <c r="A9" s="6" t="s">
        <v>31</v>
      </c>
      <c r="B9" s="3" t="s">
        <v>66</v>
      </c>
      <c r="C9" s="6" t="s">
        <v>89</v>
      </c>
      <c r="D9" s="7" t="s">
        <v>90</v>
      </c>
      <c r="H9" s="8"/>
    </row>
    <row r="10" ht="15.75" customHeight="1">
      <c r="A10" s="6" t="s">
        <v>31</v>
      </c>
      <c r="B10" s="3" t="s">
        <v>68</v>
      </c>
      <c r="C10" s="6" t="s">
        <v>91</v>
      </c>
      <c r="D10" s="7" t="s">
        <v>84</v>
      </c>
      <c r="H10" s="8"/>
    </row>
    <row r="11" ht="15.75" customHeight="1">
      <c r="A11" s="6" t="s">
        <v>36</v>
      </c>
      <c r="B11" s="3" t="s">
        <v>70</v>
      </c>
      <c r="C11" s="6" t="s">
        <v>92</v>
      </c>
      <c r="D11" s="7" t="s">
        <v>93</v>
      </c>
    </row>
    <row r="12" ht="15.75" customHeight="1">
      <c r="A12" s="6" t="s">
        <v>36</v>
      </c>
      <c r="B12" s="3" t="s">
        <v>71</v>
      </c>
      <c r="C12" s="6" t="s">
        <v>94</v>
      </c>
      <c r="D12" s="7" t="s">
        <v>95</v>
      </c>
    </row>
    <row r="13" ht="15.75" customHeight="1">
      <c r="A13" s="6" t="s">
        <v>36</v>
      </c>
      <c r="B13" s="3" t="s">
        <v>72</v>
      </c>
      <c r="C13" s="6" t="s">
        <v>79</v>
      </c>
      <c r="D13" s="7" t="s">
        <v>96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G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97</v>
      </c>
      <c r="C1" s="5" t="s">
        <v>98</v>
      </c>
      <c r="D1" s="5" t="s">
        <v>99</v>
      </c>
      <c r="E1" s="5" t="s">
        <v>100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9" t="s">
        <v>18</v>
      </c>
      <c r="B2" s="9" t="s">
        <v>101</v>
      </c>
      <c r="C2" s="9">
        <f>919384397477</f>
        <v>919384397477</v>
      </c>
      <c r="D2" s="9" t="s">
        <v>102</v>
      </c>
      <c r="E2" s="9" t="s">
        <v>103</v>
      </c>
    </row>
    <row r="3" ht="15.75" customHeight="1">
      <c r="A3" s="9" t="s">
        <v>21</v>
      </c>
      <c r="B3" s="9" t="s">
        <v>104</v>
      </c>
      <c r="C3" s="9">
        <f>918765432109</f>
        <v>918765432109</v>
      </c>
      <c r="D3" s="9" t="s">
        <v>105</v>
      </c>
      <c r="E3" s="9" t="s">
        <v>104</v>
      </c>
    </row>
    <row r="4" ht="15.75" customHeight="1">
      <c r="A4" s="9" t="s">
        <v>23</v>
      </c>
      <c r="B4" s="9" t="s">
        <v>106</v>
      </c>
      <c r="C4" s="9">
        <f>919812345678</f>
        <v>919812345678</v>
      </c>
      <c r="D4" s="9" t="s">
        <v>107</v>
      </c>
      <c r="E4" s="9" t="s">
        <v>108</v>
      </c>
    </row>
    <row r="5" ht="15.75" customHeight="1">
      <c r="A5" s="9" t="s">
        <v>25</v>
      </c>
      <c r="B5" s="9" t="s">
        <v>109</v>
      </c>
      <c r="C5" s="9">
        <f>919876543211</f>
        <v>919876543211</v>
      </c>
      <c r="D5" s="9" t="s">
        <v>110</v>
      </c>
      <c r="E5" s="9" t="s">
        <v>111</v>
      </c>
    </row>
    <row r="6" ht="15.75" customHeight="1">
      <c r="A6" s="9" t="s">
        <v>28</v>
      </c>
      <c r="B6" s="9" t="s">
        <v>112</v>
      </c>
      <c r="C6" s="9">
        <f>919812345679</f>
        <v>919812345679</v>
      </c>
      <c r="D6" s="9" t="s">
        <v>113</v>
      </c>
      <c r="E6" s="9" t="s">
        <v>114</v>
      </c>
    </row>
    <row r="7" ht="15.75" customHeight="1">
      <c r="A7" s="9" t="s">
        <v>30</v>
      </c>
      <c r="B7" s="9" t="s">
        <v>115</v>
      </c>
      <c r="C7" s="9">
        <f>919876543212</f>
        <v>919876543212</v>
      </c>
      <c r="D7" s="9" t="s">
        <v>116</v>
      </c>
      <c r="E7" s="9" t="s">
        <v>117</v>
      </c>
    </row>
    <row r="8" ht="15.75" customHeight="1">
      <c r="A8" s="9" t="s">
        <v>33</v>
      </c>
      <c r="B8" s="9" t="s">
        <v>118</v>
      </c>
      <c r="C8" s="9">
        <f>919812345680</f>
        <v>919812345680</v>
      </c>
      <c r="D8" s="9" t="s">
        <v>119</v>
      </c>
      <c r="E8" s="9" t="s">
        <v>120</v>
      </c>
    </row>
    <row r="9" ht="15.75" customHeight="1">
      <c r="A9" s="9" t="s">
        <v>35</v>
      </c>
      <c r="B9" s="9" t="s">
        <v>121</v>
      </c>
      <c r="C9" s="9">
        <f>919876543213</f>
        <v>919876543213</v>
      </c>
      <c r="D9" s="9" t="s">
        <v>122</v>
      </c>
      <c r="E9" s="9" t="s">
        <v>123</v>
      </c>
    </row>
    <row r="10" ht="15.75" customHeight="1">
      <c r="A10" s="9" t="s">
        <v>38</v>
      </c>
      <c r="B10" s="9" t="s">
        <v>124</v>
      </c>
      <c r="C10" s="9">
        <f>919812345681</f>
        <v>919812345681</v>
      </c>
      <c r="D10" s="9" t="s">
        <v>125</v>
      </c>
      <c r="E10" s="9" t="s">
        <v>126</v>
      </c>
    </row>
    <row r="11" ht="15.75" customHeight="1">
      <c r="A11" s="9" t="s">
        <v>40</v>
      </c>
      <c r="B11" s="9" t="s">
        <v>127</v>
      </c>
      <c r="C11" s="9">
        <f>919876543214</f>
        <v>919876543214</v>
      </c>
      <c r="D11" s="9" t="s">
        <v>128</v>
      </c>
      <c r="E11" s="9" t="s">
        <v>103</v>
      </c>
    </row>
    <row r="12" ht="15.75" customHeight="1">
      <c r="A12" s="9" t="s">
        <v>129</v>
      </c>
      <c r="B12" s="9" t="s">
        <v>130</v>
      </c>
      <c r="C12" s="9">
        <f>919812345682</f>
        <v>919812345682</v>
      </c>
      <c r="D12" s="9" t="s">
        <v>131</v>
      </c>
      <c r="E12" s="9" t="s">
        <v>108</v>
      </c>
    </row>
    <row r="13" ht="15.75" customHeight="1">
      <c r="A13" s="9" t="s">
        <v>132</v>
      </c>
      <c r="B13" s="9" t="s">
        <v>133</v>
      </c>
      <c r="C13" s="9">
        <f>919876543215</f>
        <v>919876543215</v>
      </c>
      <c r="D13" s="9" t="s">
        <v>134</v>
      </c>
      <c r="E13" s="9" t="s">
        <v>114</v>
      </c>
    </row>
    <row r="14" ht="15.75" customHeight="1">
      <c r="A14" s="9" t="s">
        <v>135</v>
      </c>
      <c r="B14" s="9" t="s">
        <v>136</v>
      </c>
      <c r="C14" s="9">
        <f>919812345683</f>
        <v>919812345683</v>
      </c>
      <c r="D14" s="9" t="s">
        <v>137</v>
      </c>
      <c r="E14" s="9" t="s">
        <v>117</v>
      </c>
    </row>
    <row r="15" ht="15.75" customHeight="1">
      <c r="A15" s="9" t="s">
        <v>138</v>
      </c>
      <c r="B15" s="9" t="s">
        <v>139</v>
      </c>
      <c r="C15" s="9">
        <f>919876543216</f>
        <v>919876543216</v>
      </c>
      <c r="D15" s="9" t="s">
        <v>140</v>
      </c>
      <c r="E15" s="9" t="s">
        <v>111</v>
      </c>
    </row>
    <row r="16" ht="15.75" customHeight="1">
      <c r="A16" s="9" t="s">
        <v>141</v>
      </c>
      <c r="B16" s="9" t="s">
        <v>142</v>
      </c>
      <c r="C16" s="9">
        <f>919812345684</f>
        <v>919812345684</v>
      </c>
      <c r="D16" s="9" t="s">
        <v>143</v>
      </c>
      <c r="E16" s="9" t="s">
        <v>123</v>
      </c>
    </row>
    <row r="17" ht="15.75" customHeight="1">
      <c r="A17" s="9" t="s">
        <v>144</v>
      </c>
      <c r="B17" s="9" t="s">
        <v>145</v>
      </c>
      <c r="C17" s="9">
        <f>919876543217</f>
        <v>919876543217</v>
      </c>
      <c r="D17" s="9" t="s">
        <v>146</v>
      </c>
      <c r="E17" s="9" t="s">
        <v>120</v>
      </c>
    </row>
    <row r="18" ht="15.75" customHeight="1">
      <c r="A18" s="9" t="s">
        <v>147</v>
      </c>
      <c r="B18" s="9" t="s">
        <v>148</v>
      </c>
      <c r="C18" s="9">
        <f>919812345685</f>
        <v>919812345685</v>
      </c>
      <c r="D18" s="9" t="s">
        <v>149</v>
      </c>
      <c r="E18" s="9" t="s">
        <v>126</v>
      </c>
    </row>
    <row r="19" ht="15.75" customHeight="1">
      <c r="A19" s="9" t="s">
        <v>150</v>
      </c>
      <c r="B19" s="9" t="s">
        <v>151</v>
      </c>
      <c r="C19" s="9">
        <f>919876543218</f>
        <v>919876543218</v>
      </c>
      <c r="D19" s="9" t="s">
        <v>152</v>
      </c>
      <c r="E19" s="9" t="s">
        <v>103</v>
      </c>
    </row>
    <row r="20" ht="15.75" customHeight="1">
      <c r="A20" s="9" t="s">
        <v>153</v>
      </c>
      <c r="B20" s="9" t="s">
        <v>154</v>
      </c>
      <c r="C20" s="9">
        <f>919812345686</f>
        <v>919812345686</v>
      </c>
      <c r="D20" s="9" t="s">
        <v>155</v>
      </c>
      <c r="E20" s="9" t="s">
        <v>108</v>
      </c>
    </row>
    <row r="21" ht="15.75" customHeight="1">
      <c r="A21" s="9" t="s">
        <v>156</v>
      </c>
      <c r="B21" s="9" t="s">
        <v>157</v>
      </c>
      <c r="C21" s="9">
        <f>919876543219</f>
        <v>919876543219</v>
      </c>
      <c r="D21" s="9" t="s">
        <v>158</v>
      </c>
      <c r="E21" s="9" t="s">
        <v>114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6" width="12.63"/>
  </cols>
  <sheetData>
    <row r="1" ht="15.75" customHeight="1">
      <c r="A1" s="5" t="s">
        <v>159</v>
      </c>
      <c r="B1" s="5" t="s">
        <v>160</v>
      </c>
      <c r="C1" s="10" t="s">
        <v>161</v>
      </c>
    </row>
    <row r="2" ht="15.75" customHeight="1">
      <c r="A2" s="7" t="s">
        <v>162</v>
      </c>
      <c r="B2" s="6" t="s">
        <v>163</v>
      </c>
      <c r="C2" s="6">
        <v>5000.0</v>
      </c>
    </row>
    <row r="3" ht="15.75" customHeight="1">
      <c r="A3" s="7" t="s">
        <v>164</v>
      </c>
      <c r="B3" s="6" t="s">
        <v>165</v>
      </c>
      <c r="C3" s="7">
        <v>37733.12</v>
      </c>
    </row>
    <row r="4" ht="15.75" customHeight="1">
      <c r="A4" s="7" t="s">
        <v>166</v>
      </c>
      <c r="B4" s="6" t="s">
        <v>167</v>
      </c>
      <c r="C4" s="6">
        <v>240684.8</v>
      </c>
    </row>
    <row r="5" ht="15.75" customHeight="1">
      <c r="A5" s="7" t="s">
        <v>168</v>
      </c>
      <c r="B5" s="6" t="s">
        <v>169</v>
      </c>
      <c r="C5" s="6">
        <v>3810.22</v>
      </c>
    </row>
    <row r="6" ht="15.75" customHeight="1">
      <c r="A6" s="7" t="s">
        <v>170</v>
      </c>
      <c r="B6" s="6" t="s">
        <v>171</v>
      </c>
      <c r="C6" s="6">
        <v>73137.58</v>
      </c>
    </row>
    <row r="7" ht="15.75" customHeight="1">
      <c r="A7" s="7" t="s">
        <v>172</v>
      </c>
      <c r="B7" s="7" t="s">
        <v>173</v>
      </c>
      <c r="C7" s="7">
        <v>4777.82</v>
      </c>
    </row>
    <row r="8" ht="15.75" customHeight="1">
      <c r="A8" s="7" t="s">
        <v>174</v>
      </c>
      <c r="B8" s="7" t="s">
        <v>175</v>
      </c>
      <c r="C8" s="7">
        <v>657.26</v>
      </c>
    </row>
    <row r="9" ht="15.75" customHeight="1">
      <c r="A9" s="7" t="s">
        <v>176</v>
      </c>
      <c r="B9" s="6" t="s">
        <v>177</v>
      </c>
      <c r="C9" s="6">
        <v>312859.3</v>
      </c>
    </row>
    <row r="10" ht="15.75" customHeight="1">
      <c r="A10" s="7" t="s">
        <v>178</v>
      </c>
      <c r="B10" s="6" t="s">
        <v>179</v>
      </c>
      <c r="C10" s="6">
        <v>3469.2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